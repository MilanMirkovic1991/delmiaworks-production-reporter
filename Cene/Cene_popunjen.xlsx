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lan\Documents\Prijava proizvodnje\delmiaworks-production-reporter\"/>
    </mc:Choice>
  </mc:AlternateContent>
  <xr:revisionPtr revIDLastSave="0" documentId="13_ncr:1_{092EDA36-96CF-4562-BA64-C52ED43F9F9D}" xr6:coauthVersionLast="47" xr6:coauthVersionMax="47" xr10:uidLastSave="{00000000-0000-0000-0000-000000000000}"/>
  <bookViews>
    <workbookView xWindow="2688" yWindow="2688" windowWidth="30960" windowHeight="12120" xr2:uid="{00000000-000D-0000-FFFF-FFFF00000000}"/>
  </bookViews>
  <sheets>
    <sheet name="Export Workshee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" i="1"/>
</calcChain>
</file>

<file path=xl/sharedStrings.xml><?xml version="1.0" encoding="utf-8"?>
<sst xmlns="http://schemas.openxmlformats.org/spreadsheetml/2006/main" count="483" uniqueCount="248">
  <si>
    <t>CLASS</t>
  </si>
  <si>
    <t>ITEMNO</t>
  </si>
  <si>
    <t>REV</t>
  </si>
  <si>
    <t>DESCRIP</t>
  </si>
  <si>
    <t>STD_COST</t>
  </si>
  <si>
    <t>IN</t>
  </si>
  <si>
    <t>097568510</t>
  </si>
  <si>
    <t/>
  </si>
  <si>
    <t>Boja poliuretanska dvokomponentna - komp A</t>
  </si>
  <si>
    <t>097568608</t>
  </si>
  <si>
    <t>Boja poliuretanska dvokomponentna - komp B</t>
  </si>
  <si>
    <t>PP</t>
  </si>
  <si>
    <t>30417702</t>
  </si>
  <si>
    <t>SREDNJA REŠETKA -ZADNJI DEO-</t>
  </si>
  <si>
    <t>304175108</t>
  </si>
  <si>
    <t>KRILO MLAZNI SKLOP SA ZADNJOM KOMOROM</t>
  </si>
  <si>
    <t>305565206</t>
  </si>
  <si>
    <t>PREDNJA KOMORA -SKLOP-</t>
  </si>
  <si>
    <t>028475911</t>
  </si>
  <si>
    <t>VIJAK M4X25</t>
  </si>
  <si>
    <t>097587603</t>
  </si>
  <si>
    <t>PREDNJE I ZADNJE POGONSKO PUNJENJE</t>
  </si>
  <si>
    <t>028476004</t>
  </si>
  <si>
    <t>Vijak M5X6</t>
  </si>
  <si>
    <t>098018004</t>
  </si>
  <si>
    <t>PODMETAČ</t>
  </si>
  <si>
    <t>305568404</t>
  </si>
  <si>
    <t>Elektroprovodnik pripale</t>
  </si>
  <si>
    <t>304177004</t>
  </si>
  <si>
    <t>Srednja rešetka prednji deo</t>
  </si>
  <si>
    <t>104224402</t>
  </si>
  <si>
    <t>Papucica kablovska 4/1 DIN 46234A</t>
  </si>
  <si>
    <t>097741005</t>
  </si>
  <si>
    <t>TINOL ZICA OZ.1mm S.Sn60 SRPS.C.L9.030 sa toljenjem</t>
  </si>
  <si>
    <t>097026502</t>
  </si>
  <si>
    <t>BOJA ZA OZNAČAVAJE CRNA</t>
  </si>
  <si>
    <t>097040011</t>
  </si>
  <si>
    <t>RAZREĐIVAČ TI-TU-KOV-KZ-350</t>
  </si>
  <si>
    <t>097559609</t>
  </si>
  <si>
    <t>HERMETIK TEROSON MS 931</t>
  </si>
  <si>
    <t>097348811</t>
  </si>
  <si>
    <t>HERMETIK U TUBI LOCTITE 5366</t>
  </si>
  <si>
    <t>097033104</t>
  </si>
  <si>
    <t>BOJA BITUMENSKA VT-04-TU-KOV-KZ-515</t>
  </si>
  <si>
    <t>097041008</t>
  </si>
  <si>
    <t>Razredjivac za bitumenske boje i lakove SORS 1617</t>
  </si>
  <si>
    <t>305598404</t>
  </si>
  <si>
    <t>Provodnik ETF-K 16x0.2</t>
  </si>
  <si>
    <t>099471204</t>
  </si>
  <si>
    <t>Provodnik ETF-K 16x0.125</t>
  </si>
  <si>
    <t>303256811</t>
  </si>
  <si>
    <t>Elektrozapaljiva Glavica</t>
  </si>
  <si>
    <t>330656603</t>
  </si>
  <si>
    <t>Telo kutije pripale</t>
  </si>
  <si>
    <t>096310210</t>
  </si>
  <si>
    <t>KONTAKT PRIPALE</t>
  </si>
  <si>
    <t>09759221</t>
  </si>
  <si>
    <t>Bayblend FR 3010-(PC+ABS) FR40 Covestro Deuchland AG</t>
  </si>
  <si>
    <t>0552348</t>
  </si>
  <si>
    <t>Cev Fi139.7X22</t>
  </si>
  <si>
    <t>PK</t>
  </si>
  <si>
    <t>303692809</t>
  </si>
  <si>
    <t>PALETA G2000</t>
  </si>
  <si>
    <t>303688109</t>
  </si>
  <si>
    <t>SANDUK OKOVAN</t>
  </si>
  <si>
    <t>341231208</t>
  </si>
  <si>
    <t>VRPCA</t>
  </si>
  <si>
    <t>096297903</t>
  </si>
  <si>
    <t>ŽICA ZA PLOMBU</t>
  </si>
  <si>
    <t>099468111</t>
  </si>
  <si>
    <t>PLOMBA</t>
  </si>
  <si>
    <t>300676104</t>
  </si>
  <si>
    <t>OSIGURAČ BRAVICE</t>
  </si>
  <si>
    <t>303901408</t>
  </si>
  <si>
    <t>AERODINAMIČKI PRSTEN VEĆI</t>
  </si>
  <si>
    <t>303901604</t>
  </si>
  <si>
    <t>AERODINAMIČKI PRSTEN MANJI</t>
  </si>
  <si>
    <t>028476211</t>
  </si>
  <si>
    <t>VIJAK M5X5 DIN 915 ISO 4028</t>
  </si>
  <si>
    <t>028417406</t>
  </si>
  <si>
    <t>VIJAK M5X12 M.B1.291</t>
  </si>
  <si>
    <t>305568807</t>
  </si>
  <si>
    <t>ZAŠTITNI ČEP</t>
  </si>
  <si>
    <t>104070306</t>
  </si>
  <si>
    <t>O-PRSTEN</t>
  </si>
  <si>
    <t>097048804</t>
  </si>
  <si>
    <t>BARUT No-4 SORS-1143 TU-401A CRNI</t>
  </si>
  <si>
    <t>104166211</t>
  </si>
  <si>
    <t>PROVODNIK ETF-K 035 16x0.20 SORS 4620</t>
  </si>
  <si>
    <t>FP</t>
  </si>
  <si>
    <t>305567603</t>
  </si>
  <si>
    <t>PRIPALA "GRAD S"</t>
  </si>
  <si>
    <t>097179904</t>
  </si>
  <si>
    <t>BUŽIR CEV FI3mm</t>
  </si>
  <si>
    <t>097401407</t>
  </si>
  <si>
    <t>ALKOHOL ETIL TU-323-UVTI</t>
  </si>
  <si>
    <t>305566606</t>
  </si>
  <si>
    <t>KUTIJA PRIPALE PODSKLOP</t>
  </si>
  <si>
    <t>097045301</t>
  </si>
  <si>
    <t>ŠELAK SORS-1599</t>
  </si>
  <si>
    <t>305568709</t>
  </si>
  <si>
    <t>PODMETAC</t>
  </si>
  <si>
    <t>305568611</t>
  </si>
  <si>
    <t>123</t>
  </si>
  <si>
    <t>Pakovanje za upaljač</t>
  </si>
  <si>
    <t>098020601</t>
  </si>
  <si>
    <t>Papir 0.3PH5-7 HAMER SORS-2069</t>
  </si>
  <si>
    <t>335556306</t>
  </si>
  <si>
    <t>NEZAŠTIĆEN VRH UPALJAČA</t>
  </si>
  <si>
    <t>095823603</t>
  </si>
  <si>
    <t>TRAKA SRPS EN1030 DC04-B-bSRPS EN10140</t>
  </si>
  <si>
    <t>098019208</t>
  </si>
  <si>
    <t>Pluta 1mm B11 SORS-2169</t>
  </si>
  <si>
    <t>097042702</t>
  </si>
  <si>
    <t>ETILALKOHOL SRPS E.M3.020</t>
  </si>
  <si>
    <t>097506409</t>
  </si>
  <si>
    <t>LEPAK LOCTITE 243</t>
  </si>
  <si>
    <t>097520909</t>
  </si>
  <si>
    <t>HERMETIK TEROSTAT MS 9220</t>
  </si>
  <si>
    <t>304176301</t>
  </si>
  <si>
    <t>UVODNIK PREDNJI DEO</t>
  </si>
  <si>
    <t>304176704</t>
  </si>
  <si>
    <t>ZADNJA REŠETKA</t>
  </si>
  <si>
    <t>330653710</t>
  </si>
  <si>
    <t>DRŽAČ KRILA RK-30-0001161</t>
  </si>
  <si>
    <t>095725210</t>
  </si>
  <si>
    <t>LIM 3 DC04 SRPS EN10130</t>
  </si>
  <si>
    <t>335510808</t>
  </si>
  <si>
    <t>NEZAŠTIĆENA OSOVINICA KRILA</t>
  </si>
  <si>
    <t>335508908</t>
  </si>
  <si>
    <t>OPRUGA KRILA NEZAŠTIĆENA</t>
  </si>
  <si>
    <t>335557401</t>
  </si>
  <si>
    <t>NEZAŠTIĆEN DRŽAČ OPRUGE</t>
  </si>
  <si>
    <t>096128007</t>
  </si>
  <si>
    <t>LIM SRPS EN485-2 Al99.5 O/H111 SRPS</t>
  </si>
  <si>
    <t>304175304-16</t>
  </si>
  <si>
    <t>ZADNJA KOMORA RK-35</t>
  </si>
  <si>
    <t>097039707</t>
  </si>
  <si>
    <t>Razređivač TI-TU-KOV-KZ-165 SORS1607</t>
  </si>
  <si>
    <t>097567001</t>
  </si>
  <si>
    <t>BOJA SILIKONSKA TERMOIZOLACIONA SORS -1520 NIJANSA</t>
  </si>
  <si>
    <t>096309405</t>
  </si>
  <si>
    <t>Lim SRPS EN 485-2 ALMG3 0/H111 SRPS EN 485-4 3</t>
  </si>
  <si>
    <t>303599401</t>
  </si>
  <si>
    <t>GLAVA IGLE UR 9</t>
  </si>
  <si>
    <t>303599510</t>
  </si>
  <si>
    <t>IGLA UR-9</t>
  </si>
  <si>
    <t>303600807</t>
  </si>
  <si>
    <t>Podloška opruge</t>
  </si>
  <si>
    <t>303599009</t>
  </si>
  <si>
    <t>Čaura armirajuća</t>
  </si>
  <si>
    <t>029397504</t>
  </si>
  <si>
    <t>Kuglica čelična 4 TU3845 DIN 5401</t>
  </si>
  <si>
    <t>303598611</t>
  </si>
  <si>
    <t>KLIZAC</t>
  </si>
  <si>
    <t>303598709</t>
  </si>
  <si>
    <t>PODLOŠKA KAPISLE UR 9</t>
  </si>
  <si>
    <t>303598807</t>
  </si>
  <si>
    <t>UTVRĐIVAČ KAPISLE UR 9</t>
  </si>
  <si>
    <t>345772206</t>
  </si>
  <si>
    <t>KAPISLA</t>
  </si>
  <si>
    <t>305646805</t>
  </si>
  <si>
    <t>OPRUGA IGLE-P UR-9</t>
  </si>
  <si>
    <t>305647203</t>
  </si>
  <si>
    <t>OPRUGA ČAURE ARMIRAJUĆE</t>
  </si>
  <si>
    <t>305647007</t>
  </si>
  <si>
    <t>OPRUGA BRAVE-P UR-9</t>
  </si>
  <si>
    <t>303597701</t>
  </si>
  <si>
    <t>TELO KLIZAČA UR 9</t>
  </si>
  <si>
    <t>303597908</t>
  </si>
  <si>
    <t>ČANČE BRAVE UR-9</t>
  </si>
  <si>
    <t>028385901</t>
  </si>
  <si>
    <t>VIJAK M2X8 SRPS M.B1.130</t>
  </si>
  <si>
    <t>0072027</t>
  </si>
  <si>
    <t>PETMAN CEMENT</t>
  </si>
  <si>
    <t>305647410</t>
  </si>
  <si>
    <t>OPRUGA KLIZAČA-P UR-9</t>
  </si>
  <si>
    <t>303598110</t>
  </si>
  <si>
    <t>PRSTEN UR-9</t>
  </si>
  <si>
    <t>303597004</t>
  </si>
  <si>
    <t>UDARAC UR 9</t>
  </si>
  <si>
    <t>303597211</t>
  </si>
  <si>
    <t>MEMBRANA UR 9</t>
  </si>
  <si>
    <t>305646609</t>
  </si>
  <si>
    <t>OPRUGA UDARAČA-P UR-9</t>
  </si>
  <si>
    <t>303597309</t>
  </si>
  <si>
    <t>KAPA UR-9</t>
  </si>
  <si>
    <t>098800809</t>
  </si>
  <si>
    <t>PODMAZ ZAS. ZP-3 TU-931</t>
  </si>
  <si>
    <t>303506304</t>
  </si>
  <si>
    <t>ZAPTIVAČ SLAVINE II UR-9</t>
  </si>
  <si>
    <t>303506302</t>
  </si>
  <si>
    <t>ZAPTIVAČ SLAVINE I UR-9</t>
  </si>
  <si>
    <t>029232809</t>
  </si>
  <si>
    <t>Kuglica CEL.3 DIN 5401 TU-3845 NERĐAJUĆI</t>
  </si>
  <si>
    <t>303506707</t>
  </si>
  <si>
    <t>USPORAČ I UR-9</t>
  </si>
  <si>
    <t>303596203</t>
  </si>
  <si>
    <t>USPORAČ II UR-9</t>
  </si>
  <si>
    <t>097514901</t>
  </si>
  <si>
    <t>HERMETIK NEUTRALNI SILIKONSKI LOCTITE</t>
  </si>
  <si>
    <t>095787801</t>
  </si>
  <si>
    <t>Okrugla vučena šipka SRPS EN10227-3 11SMn30+C SR</t>
  </si>
  <si>
    <t>303596911-40</t>
  </si>
  <si>
    <t>ČANČE DETONATORA UR Površ zaštita</t>
  </si>
  <si>
    <t>097046810</t>
  </si>
  <si>
    <t>PENTRIT TU-EM-1.001</t>
  </si>
  <si>
    <t>303413804</t>
  </si>
  <si>
    <t>OLOVO STIFNAT SITNOZRNI</t>
  </si>
  <si>
    <t>303414006</t>
  </si>
  <si>
    <t>OLOVO AZID SNO-1128</t>
  </si>
  <si>
    <t>303492808</t>
  </si>
  <si>
    <t>Formirana čaurica DB-23</t>
  </si>
  <si>
    <t>303493206</t>
  </si>
  <si>
    <t>Pokrivka kapisle DB-23</t>
  </si>
  <si>
    <t>303493402</t>
  </si>
  <si>
    <t>Pokrivka kapisle DB-23 SVILENA</t>
  </si>
  <si>
    <t>303109805</t>
  </si>
  <si>
    <t>Kutija limena za kapisle</t>
  </si>
  <si>
    <t>303110001</t>
  </si>
  <si>
    <t>Amortizer papirne za kapisle</t>
  </si>
  <si>
    <t>303491909</t>
  </si>
  <si>
    <t>Olovna pločica kvadratna 40x40x5</t>
  </si>
  <si>
    <t>303213106</t>
  </si>
  <si>
    <t>Ležište kapisle</t>
  </si>
  <si>
    <t>097294503</t>
  </si>
  <si>
    <t>Heksogen FH-5 SORS-1127 FLEGMATIZOVAN</t>
  </si>
  <si>
    <t>335556611</t>
  </si>
  <si>
    <t>NEZAŠTIĆENO TELO UPALJAČA</t>
  </si>
  <si>
    <t>098603810</t>
  </si>
  <si>
    <t>KOŽA BOKS JUNEĆA</t>
  </si>
  <si>
    <t>Heksotol 70-30 SORS1131 5kg</t>
  </si>
  <si>
    <t>097363709</t>
  </si>
  <si>
    <t>Guma Sunđerasta</t>
  </si>
  <si>
    <t>097327103</t>
  </si>
  <si>
    <t>FOLIJA 0,2 CELULOID TU-PM-549</t>
  </si>
  <si>
    <t>096925804</t>
  </si>
  <si>
    <t>TRAKA SRPS EN 1652 CuZn30</t>
  </si>
  <si>
    <t>335559809</t>
  </si>
  <si>
    <t>NEZAŠTIĆEN PRITEZAČ SLAVINE</t>
  </si>
  <si>
    <t>111</t>
  </si>
  <si>
    <t>Sipka</t>
  </si>
  <si>
    <t>095788602</t>
  </si>
  <si>
    <t>TRAKA SRPS EN10130 DC03 SRPS EN10140</t>
  </si>
  <si>
    <t>303960311</t>
  </si>
  <si>
    <t>SLAVINA NEZAŠTIĆENA UR-9</t>
  </si>
  <si>
    <t>select class,itemno,rev,descrip,std_cost from arinvt where standard_id is null and std_cost is null</t>
  </si>
  <si>
    <t>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</si>
</sst>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0"/>
  <sheetViews>
    <sheetView tabSelected="1" workbookViewId="0">
      <pane ySplit="1" topLeftCell="A102" activePane="bottomLeft" state="frozen"/>
      <selection pane="bottomLeft" activeCell="E121" sqref="E121"/>
    </sheetView>
  </sheetViews>
  <sheetFormatPr defaultRowHeight="14.4" x14ac:dyDescent="0.3"/>
  <cols>
    <col min="1" max="1" width="6.21875" bestFit="1" customWidth="1"/>
    <col min="2" max="2" width="12.6640625" bestFit="1" customWidth="1"/>
    <col min="3" max="3" width="4.21875" bestFit="1" customWidth="1"/>
    <col min="4" max="4" width="49.44140625" bestFit="1" customWidth="1"/>
    <col min="5" max="5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247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s="1">
        <v>18</v>
      </c>
      <c r="F2">
        <f>E2*117.5</f>
        <v>2115</v>
      </c>
    </row>
    <row r="3" spans="1:6" x14ac:dyDescent="0.3">
      <c r="A3" t="s">
        <v>5</v>
      </c>
      <c r="B3" t="s">
        <v>9</v>
      </c>
      <c r="C3" t="s">
        <v>7</v>
      </c>
      <c r="D3" t="s">
        <v>10</v>
      </c>
      <c r="E3" s="1">
        <v>22</v>
      </c>
      <c r="F3">
        <f t="shared" ref="F3:F66" si="0">E3*117.5</f>
        <v>2585</v>
      </c>
    </row>
    <row r="4" spans="1:6" x14ac:dyDescent="0.3">
      <c r="A4" t="s">
        <v>11</v>
      </c>
      <c r="B4" t="s">
        <v>12</v>
      </c>
      <c r="C4" t="s">
        <v>7</v>
      </c>
      <c r="D4" t="s">
        <v>13</v>
      </c>
      <c r="E4">
        <v>20</v>
      </c>
      <c r="F4">
        <f t="shared" si="0"/>
        <v>2350</v>
      </c>
    </row>
    <row r="5" spans="1:6" x14ac:dyDescent="0.3">
      <c r="A5" t="s">
        <v>11</v>
      </c>
      <c r="B5" t="s">
        <v>14</v>
      </c>
      <c r="C5" t="s">
        <v>7</v>
      </c>
      <c r="D5" t="s">
        <v>15</v>
      </c>
      <c r="E5">
        <v>25</v>
      </c>
      <c r="F5">
        <f t="shared" si="0"/>
        <v>2937.5</v>
      </c>
    </row>
    <row r="6" spans="1:6" x14ac:dyDescent="0.3">
      <c r="A6" t="s">
        <v>11</v>
      </c>
      <c r="B6" t="s">
        <v>16</v>
      </c>
      <c r="C6" t="s">
        <v>7</v>
      </c>
      <c r="D6" t="s">
        <v>17</v>
      </c>
      <c r="E6">
        <v>30</v>
      </c>
      <c r="F6">
        <f t="shared" si="0"/>
        <v>3525</v>
      </c>
    </row>
    <row r="7" spans="1:6" x14ac:dyDescent="0.3">
      <c r="A7" t="s">
        <v>5</v>
      </c>
      <c r="B7" t="s">
        <v>18</v>
      </c>
      <c r="C7" t="s">
        <v>7</v>
      </c>
      <c r="D7" t="s">
        <v>19</v>
      </c>
      <c r="E7" s="1">
        <v>0.06</v>
      </c>
      <c r="F7">
        <f t="shared" si="0"/>
        <v>7.05</v>
      </c>
    </row>
    <row r="8" spans="1:6" x14ac:dyDescent="0.3">
      <c r="A8" t="s">
        <v>5</v>
      </c>
      <c r="B8" t="s">
        <v>20</v>
      </c>
      <c r="C8" t="s">
        <v>7</v>
      </c>
      <c r="D8" t="s">
        <v>21</v>
      </c>
      <c r="E8">
        <v>25</v>
      </c>
      <c r="F8">
        <f t="shared" si="0"/>
        <v>2937.5</v>
      </c>
    </row>
    <row r="9" spans="1:6" x14ac:dyDescent="0.3">
      <c r="A9" t="s">
        <v>5</v>
      </c>
      <c r="B9" t="s">
        <v>22</v>
      </c>
      <c r="C9" t="s">
        <v>7</v>
      </c>
      <c r="D9" t="s">
        <v>23</v>
      </c>
      <c r="E9" s="1">
        <v>0.04</v>
      </c>
      <c r="F9">
        <f t="shared" si="0"/>
        <v>4.7</v>
      </c>
    </row>
    <row r="10" spans="1:6" x14ac:dyDescent="0.3">
      <c r="A10" t="s">
        <v>5</v>
      </c>
      <c r="B10" t="s">
        <v>24</v>
      </c>
      <c r="C10" t="s">
        <v>7</v>
      </c>
      <c r="D10" t="s">
        <v>25</v>
      </c>
      <c r="E10" s="1">
        <v>0.02</v>
      </c>
      <c r="F10">
        <f t="shared" si="0"/>
        <v>2.35</v>
      </c>
    </row>
    <row r="11" spans="1:6" x14ac:dyDescent="0.3">
      <c r="A11" t="s">
        <v>5</v>
      </c>
      <c r="B11" t="s">
        <v>26</v>
      </c>
      <c r="C11" t="s">
        <v>7</v>
      </c>
      <c r="D11" t="s">
        <v>27</v>
      </c>
      <c r="E11" s="1">
        <v>1</v>
      </c>
      <c r="F11">
        <f t="shared" si="0"/>
        <v>117.5</v>
      </c>
    </row>
    <row r="12" spans="1:6" x14ac:dyDescent="0.3">
      <c r="A12" t="s">
        <v>11</v>
      </c>
      <c r="B12" t="s">
        <v>28</v>
      </c>
      <c r="C12" t="s">
        <v>7</v>
      </c>
      <c r="D12" t="s">
        <v>29</v>
      </c>
      <c r="E12" s="1">
        <v>25</v>
      </c>
      <c r="F12">
        <f t="shared" si="0"/>
        <v>2937.5</v>
      </c>
    </row>
    <row r="13" spans="1:6" x14ac:dyDescent="0.3">
      <c r="A13" t="s">
        <v>5</v>
      </c>
      <c r="B13" t="s">
        <v>30</v>
      </c>
      <c r="C13" t="s">
        <v>7</v>
      </c>
      <c r="D13" t="s">
        <v>31</v>
      </c>
      <c r="E13" s="1">
        <v>0.08</v>
      </c>
      <c r="F13">
        <f t="shared" si="0"/>
        <v>9.4</v>
      </c>
    </row>
    <row r="14" spans="1:6" x14ac:dyDescent="0.3">
      <c r="A14" t="s">
        <v>5</v>
      </c>
      <c r="B14" t="s">
        <v>32</v>
      </c>
      <c r="C14" t="s">
        <v>7</v>
      </c>
      <c r="D14" t="s">
        <v>33</v>
      </c>
      <c r="E14" s="1">
        <v>22</v>
      </c>
      <c r="F14">
        <f t="shared" si="0"/>
        <v>2585</v>
      </c>
    </row>
    <row r="15" spans="1:6" x14ac:dyDescent="0.3">
      <c r="A15" t="s">
        <v>5</v>
      </c>
      <c r="B15" t="s">
        <v>34</v>
      </c>
      <c r="C15" t="s">
        <v>7</v>
      </c>
      <c r="D15" t="s">
        <v>35</v>
      </c>
      <c r="E15" s="1">
        <v>8</v>
      </c>
      <c r="F15">
        <f t="shared" si="0"/>
        <v>940</v>
      </c>
    </row>
    <row r="16" spans="1:6" x14ac:dyDescent="0.3">
      <c r="A16" t="s">
        <v>5</v>
      </c>
      <c r="B16" t="s">
        <v>36</v>
      </c>
      <c r="C16" t="s">
        <v>7</v>
      </c>
      <c r="D16" t="s">
        <v>37</v>
      </c>
      <c r="E16" s="1">
        <v>3.5</v>
      </c>
      <c r="F16">
        <f t="shared" si="0"/>
        <v>411.25</v>
      </c>
    </row>
    <row r="17" spans="1:6" x14ac:dyDescent="0.3">
      <c r="A17" t="s">
        <v>5</v>
      </c>
      <c r="B17" t="s">
        <v>38</v>
      </c>
      <c r="C17" t="s">
        <v>7</v>
      </c>
      <c r="D17" t="s">
        <v>39</v>
      </c>
      <c r="E17" s="1">
        <v>13</v>
      </c>
      <c r="F17">
        <f t="shared" si="0"/>
        <v>1527.5</v>
      </c>
    </row>
    <row r="18" spans="1:6" x14ac:dyDescent="0.3">
      <c r="A18" t="s">
        <v>5</v>
      </c>
      <c r="B18" t="s">
        <v>40</v>
      </c>
      <c r="C18" t="s">
        <v>7</v>
      </c>
      <c r="D18" t="s">
        <v>41</v>
      </c>
      <c r="E18" s="1">
        <v>35</v>
      </c>
      <c r="F18">
        <f t="shared" si="0"/>
        <v>4112.5</v>
      </c>
    </row>
    <row r="19" spans="1:6" x14ac:dyDescent="0.3">
      <c r="A19" t="s">
        <v>5</v>
      </c>
      <c r="B19" t="s">
        <v>42</v>
      </c>
      <c r="C19" t="s">
        <v>7</v>
      </c>
      <c r="D19" t="s">
        <v>43</v>
      </c>
      <c r="E19" s="1">
        <v>6</v>
      </c>
      <c r="F19">
        <f t="shared" si="0"/>
        <v>705</v>
      </c>
    </row>
    <row r="20" spans="1:6" x14ac:dyDescent="0.3">
      <c r="A20" t="s">
        <v>5</v>
      </c>
      <c r="B20" t="s">
        <v>44</v>
      </c>
      <c r="C20" t="s">
        <v>7</v>
      </c>
      <c r="D20" t="s">
        <v>45</v>
      </c>
      <c r="E20" s="1">
        <v>3</v>
      </c>
      <c r="F20">
        <f t="shared" si="0"/>
        <v>352.5</v>
      </c>
    </row>
    <row r="21" spans="1:6" x14ac:dyDescent="0.3">
      <c r="A21" t="s">
        <v>5</v>
      </c>
      <c r="B21" t="s">
        <v>46</v>
      </c>
      <c r="C21" t="s">
        <v>7</v>
      </c>
      <c r="D21" t="s">
        <v>47</v>
      </c>
      <c r="E21" s="1">
        <v>0.3</v>
      </c>
      <c r="F21">
        <f t="shared" si="0"/>
        <v>35.25</v>
      </c>
    </row>
    <row r="22" spans="1:6" x14ac:dyDescent="0.3">
      <c r="A22" t="s">
        <v>5</v>
      </c>
      <c r="B22" t="s">
        <v>48</v>
      </c>
      <c r="C22" t="s">
        <v>7</v>
      </c>
      <c r="D22" t="s">
        <v>49</v>
      </c>
      <c r="E22" s="1">
        <v>0.25</v>
      </c>
      <c r="F22">
        <f t="shared" si="0"/>
        <v>29.375</v>
      </c>
    </row>
    <row r="23" spans="1:6" x14ac:dyDescent="0.3">
      <c r="A23" t="s">
        <v>11</v>
      </c>
      <c r="B23" t="s">
        <v>50</v>
      </c>
      <c r="C23" t="s">
        <v>7</v>
      </c>
      <c r="D23" t="s">
        <v>51</v>
      </c>
      <c r="E23" s="1">
        <v>10</v>
      </c>
      <c r="F23">
        <f t="shared" si="0"/>
        <v>1175</v>
      </c>
    </row>
    <row r="24" spans="1:6" x14ac:dyDescent="0.3">
      <c r="A24" t="s">
        <v>11</v>
      </c>
      <c r="B24" t="s">
        <v>52</v>
      </c>
      <c r="C24" t="s">
        <v>7</v>
      </c>
      <c r="D24" t="s">
        <v>53</v>
      </c>
      <c r="E24" s="1">
        <v>15</v>
      </c>
      <c r="F24">
        <f t="shared" si="0"/>
        <v>1762.5</v>
      </c>
    </row>
    <row r="25" spans="1:6" x14ac:dyDescent="0.3">
      <c r="A25" t="s">
        <v>11</v>
      </c>
      <c r="B25" t="s">
        <v>54</v>
      </c>
      <c r="C25" t="s">
        <v>7</v>
      </c>
      <c r="D25" t="s">
        <v>55</v>
      </c>
      <c r="E25" s="1">
        <v>10</v>
      </c>
      <c r="F25">
        <f t="shared" si="0"/>
        <v>1175</v>
      </c>
    </row>
    <row r="26" spans="1:6" x14ac:dyDescent="0.3">
      <c r="A26" t="s">
        <v>5</v>
      </c>
      <c r="B26" t="s">
        <v>56</v>
      </c>
      <c r="C26" t="s">
        <v>7</v>
      </c>
      <c r="D26" t="s">
        <v>57</v>
      </c>
      <c r="E26" s="1">
        <v>2.27</v>
      </c>
      <c r="F26">
        <f t="shared" si="0"/>
        <v>266.72500000000002</v>
      </c>
    </row>
    <row r="27" spans="1:6" x14ac:dyDescent="0.3">
      <c r="A27" t="s">
        <v>5</v>
      </c>
      <c r="B27" t="s">
        <v>58</v>
      </c>
      <c r="C27" t="s">
        <v>7</v>
      </c>
      <c r="D27" t="s">
        <v>59</v>
      </c>
      <c r="E27" s="1">
        <v>2.5</v>
      </c>
      <c r="F27">
        <f t="shared" si="0"/>
        <v>293.75</v>
      </c>
    </row>
    <row r="28" spans="1:6" x14ac:dyDescent="0.3">
      <c r="A28" t="s">
        <v>60</v>
      </c>
      <c r="B28" t="s">
        <v>61</v>
      </c>
      <c r="C28" t="s">
        <v>7</v>
      </c>
      <c r="D28" t="s">
        <v>62</v>
      </c>
      <c r="E28" s="1">
        <v>18</v>
      </c>
      <c r="F28">
        <f t="shared" si="0"/>
        <v>2115</v>
      </c>
    </row>
    <row r="29" spans="1:6" x14ac:dyDescent="0.3">
      <c r="A29" t="s">
        <v>60</v>
      </c>
      <c r="B29" t="s">
        <v>63</v>
      </c>
      <c r="C29" t="s">
        <v>7</v>
      </c>
      <c r="D29" t="s">
        <v>64</v>
      </c>
      <c r="E29" s="1">
        <v>35</v>
      </c>
      <c r="F29">
        <f t="shared" si="0"/>
        <v>4112.5</v>
      </c>
    </row>
    <row r="30" spans="1:6" x14ac:dyDescent="0.3">
      <c r="A30" t="s">
        <v>5</v>
      </c>
      <c r="B30" t="s">
        <v>65</v>
      </c>
      <c r="C30" t="s">
        <v>7</v>
      </c>
      <c r="D30" t="s">
        <v>66</v>
      </c>
      <c r="E30" s="1">
        <v>0.5</v>
      </c>
      <c r="F30">
        <f t="shared" si="0"/>
        <v>58.75</v>
      </c>
    </row>
    <row r="31" spans="1:6" x14ac:dyDescent="0.3">
      <c r="A31" t="s">
        <v>5</v>
      </c>
      <c r="B31" t="s">
        <v>67</v>
      </c>
      <c r="C31" t="s">
        <v>7</v>
      </c>
      <c r="D31" t="s">
        <v>68</v>
      </c>
      <c r="E31" s="1">
        <v>3.5</v>
      </c>
      <c r="F31">
        <f t="shared" si="0"/>
        <v>411.25</v>
      </c>
    </row>
    <row r="32" spans="1:6" x14ac:dyDescent="0.3">
      <c r="A32" t="s">
        <v>5</v>
      </c>
      <c r="B32" t="s">
        <v>69</v>
      </c>
      <c r="C32" t="s">
        <v>7</v>
      </c>
      <c r="D32" t="s">
        <v>70</v>
      </c>
      <c r="E32" s="1">
        <v>0.03</v>
      </c>
      <c r="F32">
        <f t="shared" si="0"/>
        <v>3.5249999999999999</v>
      </c>
    </row>
    <row r="33" spans="1:6" x14ac:dyDescent="0.3">
      <c r="A33" t="s">
        <v>5</v>
      </c>
      <c r="B33" t="s">
        <v>71</v>
      </c>
      <c r="C33" t="s">
        <v>7</v>
      </c>
      <c r="D33" t="s">
        <v>72</v>
      </c>
      <c r="E33" s="1">
        <v>2</v>
      </c>
      <c r="F33">
        <f t="shared" si="0"/>
        <v>235</v>
      </c>
    </row>
    <row r="34" spans="1:6" x14ac:dyDescent="0.3">
      <c r="A34" t="s">
        <v>11</v>
      </c>
      <c r="B34" t="s">
        <v>73</v>
      </c>
      <c r="C34" t="s">
        <v>7</v>
      </c>
      <c r="D34" t="s">
        <v>74</v>
      </c>
      <c r="E34" s="1">
        <v>1.5</v>
      </c>
      <c r="F34">
        <f t="shared" si="0"/>
        <v>176.25</v>
      </c>
    </row>
    <row r="35" spans="1:6" x14ac:dyDescent="0.3">
      <c r="A35" t="s">
        <v>11</v>
      </c>
      <c r="B35" t="s">
        <v>75</v>
      </c>
      <c r="C35" t="s">
        <v>7</v>
      </c>
      <c r="D35" t="s">
        <v>76</v>
      </c>
      <c r="E35" s="1">
        <v>1</v>
      </c>
      <c r="F35">
        <f t="shared" si="0"/>
        <v>117.5</v>
      </c>
    </row>
    <row r="36" spans="1:6" x14ac:dyDescent="0.3">
      <c r="A36" t="s">
        <v>5</v>
      </c>
      <c r="B36" t="s">
        <v>77</v>
      </c>
      <c r="C36" t="s">
        <v>7</v>
      </c>
      <c r="D36" t="s">
        <v>78</v>
      </c>
      <c r="E36" s="1">
        <v>0.05</v>
      </c>
      <c r="F36">
        <f t="shared" si="0"/>
        <v>5.875</v>
      </c>
    </row>
    <row r="37" spans="1:6" x14ac:dyDescent="0.3">
      <c r="A37" t="s">
        <v>5</v>
      </c>
      <c r="B37" t="s">
        <v>79</v>
      </c>
      <c r="C37" t="s">
        <v>7</v>
      </c>
      <c r="D37" t="s">
        <v>80</v>
      </c>
      <c r="E37" s="1">
        <v>0.05</v>
      </c>
      <c r="F37">
        <f t="shared" si="0"/>
        <v>5.875</v>
      </c>
    </row>
    <row r="38" spans="1:6" x14ac:dyDescent="0.3">
      <c r="A38" t="s">
        <v>5</v>
      </c>
      <c r="B38" t="s">
        <v>81</v>
      </c>
      <c r="C38" t="s">
        <v>7</v>
      </c>
      <c r="D38" t="s">
        <v>82</v>
      </c>
      <c r="E38" s="1">
        <v>0.05</v>
      </c>
      <c r="F38">
        <f t="shared" si="0"/>
        <v>5.875</v>
      </c>
    </row>
    <row r="39" spans="1:6" x14ac:dyDescent="0.3">
      <c r="A39" t="s">
        <v>5</v>
      </c>
      <c r="B39" t="s">
        <v>83</v>
      </c>
      <c r="C39" t="s">
        <v>7</v>
      </c>
      <c r="D39" t="s">
        <v>84</v>
      </c>
      <c r="E39" s="1">
        <v>0.15</v>
      </c>
      <c r="F39">
        <f t="shared" si="0"/>
        <v>17.625</v>
      </c>
    </row>
    <row r="40" spans="1:6" x14ac:dyDescent="0.3">
      <c r="A40" t="s">
        <v>5</v>
      </c>
      <c r="B40" t="s">
        <v>85</v>
      </c>
      <c r="C40" t="s">
        <v>7</v>
      </c>
      <c r="D40" t="s">
        <v>86</v>
      </c>
      <c r="E40" s="1">
        <v>2</v>
      </c>
      <c r="F40">
        <f t="shared" si="0"/>
        <v>235</v>
      </c>
    </row>
    <row r="41" spans="1:6" x14ac:dyDescent="0.3">
      <c r="A41" t="s">
        <v>5</v>
      </c>
      <c r="B41" t="s">
        <v>87</v>
      </c>
      <c r="C41" t="s">
        <v>7</v>
      </c>
      <c r="D41" t="s">
        <v>88</v>
      </c>
      <c r="E41" s="1">
        <v>0.3</v>
      </c>
      <c r="F41">
        <f t="shared" si="0"/>
        <v>35.25</v>
      </c>
    </row>
    <row r="42" spans="1:6" x14ac:dyDescent="0.3">
      <c r="A42" t="s">
        <v>89</v>
      </c>
      <c r="B42" t="s">
        <v>90</v>
      </c>
      <c r="C42" t="s">
        <v>7</v>
      </c>
      <c r="D42" t="s">
        <v>91</v>
      </c>
      <c r="E42" s="1">
        <v>25</v>
      </c>
      <c r="F42">
        <f t="shared" si="0"/>
        <v>2937.5</v>
      </c>
    </row>
    <row r="43" spans="1:6" x14ac:dyDescent="0.3">
      <c r="A43" t="s">
        <v>5</v>
      </c>
      <c r="B43" t="s">
        <v>92</v>
      </c>
      <c r="C43" t="s">
        <v>7</v>
      </c>
      <c r="D43" t="s">
        <v>93</v>
      </c>
      <c r="E43" s="1">
        <v>0.4</v>
      </c>
      <c r="F43">
        <f t="shared" si="0"/>
        <v>47</v>
      </c>
    </row>
    <row r="44" spans="1:6" x14ac:dyDescent="0.3">
      <c r="A44" t="s">
        <v>5</v>
      </c>
      <c r="B44" t="s">
        <v>94</v>
      </c>
      <c r="C44" t="s">
        <v>7</v>
      </c>
      <c r="D44" t="s">
        <v>95</v>
      </c>
      <c r="E44" s="1">
        <v>2</v>
      </c>
      <c r="F44">
        <f t="shared" si="0"/>
        <v>235</v>
      </c>
    </row>
    <row r="45" spans="1:6" x14ac:dyDescent="0.3">
      <c r="A45" t="s">
        <v>5</v>
      </c>
      <c r="B45" t="s">
        <v>96</v>
      </c>
      <c r="C45" t="s">
        <v>7</v>
      </c>
      <c r="D45" t="s">
        <v>97</v>
      </c>
      <c r="E45" s="1">
        <v>2</v>
      </c>
      <c r="F45">
        <f t="shared" si="0"/>
        <v>235</v>
      </c>
    </row>
    <row r="46" spans="1:6" x14ac:dyDescent="0.3">
      <c r="A46" t="s">
        <v>5</v>
      </c>
      <c r="B46" t="s">
        <v>98</v>
      </c>
      <c r="C46" t="s">
        <v>7</v>
      </c>
      <c r="D46" t="s">
        <v>99</v>
      </c>
      <c r="E46" s="1">
        <v>12</v>
      </c>
      <c r="F46">
        <f t="shared" si="0"/>
        <v>1410</v>
      </c>
    </row>
    <row r="47" spans="1:6" x14ac:dyDescent="0.3">
      <c r="A47" t="s">
        <v>11</v>
      </c>
      <c r="B47" t="s">
        <v>100</v>
      </c>
      <c r="C47" t="s">
        <v>7</v>
      </c>
      <c r="D47" t="s">
        <v>101</v>
      </c>
      <c r="E47" s="1">
        <v>4</v>
      </c>
      <c r="F47">
        <f t="shared" si="0"/>
        <v>470</v>
      </c>
    </row>
    <row r="48" spans="1:6" x14ac:dyDescent="0.3">
      <c r="A48" t="s">
        <v>11</v>
      </c>
      <c r="B48" t="s">
        <v>102</v>
      </c>
      <c r="C48" t="s">
        <v>7</v>
      </c>
      <c r="D48" t="s">
        <v>55</v>
      </c>
      <c r="E48" s="1">
        <v>3</v>
      </c>
      <c r="F48">
        <f t="shared" si="0"/>
        <v>352.5</v>
      </c>
    </row>
    <row r="49" spans="1:6" x14ac:dyDescent="0.3">
      <c r="A49" t="s">
        <v>60</v>
      </c>
      <c r="B49" t="s">
        <v>103</v>
      </c>
      <c r="C49" t="s">
        <v>7</v>
      </c>
      <c r="D49" t="s">
        <v>104</v>
      </c>
      <c r="E49" s="1">
        <v>1</v>
      </c>
      <c r="F49">
        <f t="shared" si="0"/>
        <v>117.5</v>
      </c>
    </row>
    <row r="50" spans="1:6" x14ac:dyDescent="0.3">
      <c r="A50" t="s">
        <v>5</v>
      </c>
      <c r="B50" t="s">
        <v>105</v>
      </c>
      <c r="C50" t="s">
        <v>7</v>
      </c>
      <c r="D50" t="s">
        <v>106</v>
      </c>
      <c r="E50" s="1">
        <v>6</v>
      </c>
      <c r="F50">
        <f t="shared" si="0"/>
        <v>705</v>
      </c>
    </row>
    <row r="51" spans="1:6" x14ac:dyDescent="0.3">
      <c r="A51" t="s">
        <v>11</v>
      </c>
      <c r="B51" t="s">
        <v>107</v>
      </c>
      <c r="C51" t="s">
        <v>7</v>
      </c>
      <c r="D51" t="s">
        <v>108</v>
      </c>
      <c r="E51" s="1">
        <v>50</v>
      </c>
      <c r="F51">
        <f t="shared" si="0"/>
        <v>5875</v>
      </c>
    </row>
    <row r="52" spans="1:6" x14ac:dyDescent="0.3">
      <c r="A52" t="s">
        <v>5</v>
      </c>
      <c r="B52" t="s">
        <v>109</v>
      </c>
      <c r="C52" t="s">
        <v>7</v>
      </c>
      <c r="D52" t="s">
        <v>110</v>
      </c>
      <c r="E52" s="1">
        <v>1.1000000000000001</v>
      </c>
      <c r="F52">
        <f t="shared" si="0"/>
        <v>129.25</v>
      </c>
    </row>
    <row r="53" spans="1:6" x14ac:dyDescent="0.3">
      <c r="A53" t="s">
        <v>5</v>
      </c>
      <c r="B53" t="s">
        <v>111</v>
      </c>
      <c r="C53" t="s">
        <v>7</v>
      </c>
      <c r="D53" t="s">
        <v>112</v>
      </c>
      <c r="E53" s="1">
        <v>8</v>
      </c>
      <c r="F53">
        <f t="shared" si="0"/>
        <v>940</v>
      </c>
    </row>
    <row r="54" spans="1:6" x14ac:dyDescent="0.3">
      <c r="A54" t="s">
        <v>5</v>
      </c>
      <c r="B54" t="s">
        <v>113</v>
      </c>
      <c r="C54" t="s">
        <v>7</v>
      </c>
      <c r="D54" t="s">
        <v>114</v>
      </c>
      <c r="E54" s="1">
        <v>2</v>
      </c>
      <c r="F54">
        <f t="shared" si="0"/>
        <v>235</v>
      </c>
    </row>
    <row r="55" spans="1:6" x14ac:dyDescent="0.3">
      <c r="A55" t="s">
        <v>5</v>
      </c>
      <c r="B55" t="s">
        <v>115</v>
      </c>
      <c r="C55" t="s">
        <v>7</v>
      </c>
      <c r="D55" t="s">
        <v>116</v>
      </c>
      <c r="E55" s="1">
        <v>27</v>
      </c>
      <c r="F55">
        <f t="shared" si="0"/>
        <v>3172.5</v>
      </c>
    </row>
    <row r="56" spans="1:6" x14ac:dyDescent="0.3">
      <c r="A56" t="s">
        <v>5</v>
      </c>
      <c r="B56" t="s">
        <v>117</v>
      </c>
      <c r="C56" t="s">
        <v>7</v>
      </c>
      <c r="D56" t="s">
        <v>118</v>
      </c>
      <c r="E56" s="1">
        <v>14</v>
      </c>
      <c r="F56">
        <f t="shared" si="0"/>
        <v>1645</v>
      </c>
    </row>
    <row r="57" spans="1:6" x14ac:dyDescent="0.3">
      <c r="A57" t="s">
        <v>11</v>
      </c>
      <c r="B57" t="s">
        <v>119</v>
      </c>
      <c r="C57" t="s">
        <v>7</v>
      </c>
      <c r="D57" t="s">
        <v>120</v>
      </c>
      <c r="E57" s="1">
        <v>45</v>
      </c>
      <c r="F57">
        <f t="shared" si="0"/>
        <v>5287.5</v>
      </c>
    </row>
    <row r="58" spans="1:6" x14ac:dyDescent="0.3">
      <c r="A58" t="s">
        <v>11</v>
      </c>
      <c r="B58" t="s">
        <v>121</v>
      </c>
      <c r="C58" t="s">
        <v>7</v>
      </c>
      <c r="D58" t="s">
        <v>122</v>
      </c>
      <c r="E58" s="1">
        <v>50</v>
      </c>
      <c r="F58">
        <f t="shared" si="0"/>
        <v>5875</v>
      </c>
    </row>
    <row r="59" spans="1:6" x14ac:dyDescent="0.3">
      <c r="A59" t="s">
        <v>11</v>
      </c>
      <c r="B59" t="s">
        <v>123</v>
      </c>
      <c r="C59" t="s">
        <v>7</v>
      </c>
      <c r="D59" t="s">
        <v>124</v>
      </c>
      <c r="E59" s="1">
        <v>60</v>
      </c>
      <c r="F59">
        <f t="shared" si="0"/>
        <v>7050</v>
      </c>
    </row>
    <row r="60" spans="1:6" x14ac:dyDescent="0.3">
      <c r="A60" t="s">
        <v>5</v>
      </c>
      <c r="B60" t="s">
        <v>125</v>
      </c>
      <c r="C60" t="s">
        <v>7</v>
      </c>
      <c r="D60" t="s">
        <v>126</v>
      </c>
      <c r="E60" s="1">
        <v>1.1000000000000001</v>
      </c>
      <c r="F60">
        <f t="shared" si="0"/>
        <v>129.25</v>
      </c>
    </row>
    <row r="61" spans="1:6" x14ac:dyDescent="0.3">
      <c r="A61" t="s">
        <v>11</v>
      </c>
      <c r="B61" t="s">
        <v>127</v>
      </c>
      <c r="C61" t="s">
        <v>7</v>
      </c>
      <c r="D61" t="s">
        <v>128</v>
      </c>
      <c r="E61" s="1">
        <v>5</v>
      </c>
      <c r="F61">
        <f t="shared" si="0"/>
        <v>587.5</v>
      </c>
    </row>
    <row r="62" spans="1:6" x14ac:dyDescent="0.3">
      <c r="A62" t="s">
        <v>11</v>
      </c>
      <c r="B62" t="s">
        <v>129</v>
      </c>
      <c r="C62" t="s">
        <v>7</v>
      </c>
      <c r="D62" t="s">
        <v>130</v>
      </c>
      <c r="E62" s="1">
        <v>0.2</v>
      </c>
      <c r="F62">
        <f t="shared" si="0"/>
        <v>23.5</v>
      </c>
    </row>
    <row r="63" spans="1:6" x14ac:dyDescent="0.3">
      <c r="A63" t="s">
        <v>11</v>
      </c>
      <c r="B63" t="s">
        <v>131</v>
      </c>
      <c r="C63" t="s">
        <v>7</v>
      </c>
      <c r="D63" t="s">
        <v>132</v>
      </c>
      <c r="E63" s="1">
        <v>1</v>
      </c>
      <c r="F63">
        <f t="shared" si="0"/>
        <v>117.5</v>
      </c>
    </row>
    <row r="64" spans="1:6" x14ac:dyDescent="0.3">
      <c r="A64" t="s">
        <v>5</v>
      </c>
      <c r="B64" t="s">
        <v>133</v>
      </c>
      <c r="C64" t="s">
        <v>7</v>
      </c>
      <c r="D64" t="s">
        <v>134</v>
      </c>
      <c r="E64" s="1">
        <v>3.5</v>
      </c>
      <c r="F64">
        <f t="shared" si="0"/>
        <v>411.25</v>
      </c>
    </row>
    <row r="65" spans="1:6" x14ac:dyDescent="0.3">
      <c r="A65" t="s">
        <v>89</v>
      </c>
      <c r="B65" t="s">
        <v>135</v>
      </c>
      <c r="C65" t="s">
        <v>7</v>
      </c>
      <c r="D65" t="s">
        <v>136</v>
      </c>
      <c r="E65" s="1">
        <v>14</v>
      </c>
      <c r="F65">
        <f t="shared" si="0"/>
        <v>1645</v>
      </c>
    </row>
    <row r="66" spans="1:6" x14ac:dyDescent="0.3">
      <c r="A66" t="s">
        <v>5</v>
      </c>
      <c r="B66" t="s">
        <v>137</v>
      </c>
      <c r="C66" t="s">
        <v>7</v>
      </c>
      <c r="D66" t="s">
        <v>138</v>
      </c>
      <c r="E66" s="1">
        <v>3.5</v>
      </c>
      <c r="F66">
        <f t="shared" si="0"/>
        <v>411.25</v>
      </c>
    </row>
    <row r="67" spans="1:6" x14ac:dyDescent="0.3">
      <c r="A67" t="s">
        <v>5</v>
      </c>
      <c r="B67" t="s">
        <v>139</v>
      </c>
      <c r="C67" t="s">
        <v>7</v>
      </c>
      <c r="D67" t="s">
        <v>140</v>
      </c>
      <c r="E67" s="1">
        <v>20</v>
      </c>
      <c r="F67">
        <f t="shared" ref="F67:F120" si="1">E67*117.5</f>
        <v>2350</v>
      </c>
    </row>
    <row r="68" spans="1:6" x14ac:dyDescent="0.3">
      <c r="A68" t="s">
        <v>5</v>
      </c>
      <c r="B68" t="s">
        <v>141</v>
      </c>
      <c r="C68" t="s">
        <v>7</v>
      </c>
      <c r="D68" t="s">
        <v>142</v>
      </c>
      <c r="E68" s="1">
        <v>2.8</v>
      </c>
      <c r="F68">
        <f t="shared" si="1"/>
        <v>329</v>
      </c>
    </row>
    <row r="69" spans="1:6" x14ac:dyDescent="0.3">
      <c r="A69" t="s">
        <v>11</v>
      </c>
      <c r="B69" t="s">
        <v>143</v>
      </c>
      <c r="C69" t="s">
        <v>7</v>
      </c>
      <c r="D69" t="s">
        <v>144</v>
      </c>
      <c r="E69" s="1">
        <v>4</v>
      </c>
      <c r="F69">
        <f t="shared" si="1"/>
        <v>470</v>
      </c>
    </row>
    <row r="70" spans="1:6" x14ac:dyDescent="0.3">
      <c r="A70" t="s">
        <v>11</v>
      </c>
      <c r="B70" t="s">
        <v>145</v>
      </c>
      <c r="C70" t="s">
        <v>7</v>
      </c>
      <c r="D70" t="s">
        <v>146</v>
      </c>
      <c r="E70" s="1">
        <v>10</v>
      </c>
      <c r="F70">
        <f t="shared" si="1"/>
        <v>1175</v>
      </c>
    </row>
    <row r="71" spans="1:6" x14ac:dyDescent="0.3">
      <c r="A71" t="s">
        <v>11</v>
      </c>
      <c r="B71" t="s">
        <v>147</v>
      </c>
      <c r="C71" t="s">
        <v>7</v>
      </c>
      <c r="D71" t="s">
        <v>148</v>
      </c>
      <c r="E71" s="1">
        <v>3</v>
      </c>
      <c r="F71">
        <f t="shared" si="1"/>
        <v>352.5</v>
      </c>
    </row>
    <row r="72" spans="1:6" x14ac:dyDescent="0.3">
      <c r="A72" t="s">
        <v>11</v>
      </c>
      <c r="B72" t="s">
        <v>149</v>
      </c>
      <c r="C72" t="s">
        <v>7</v>
      </c>
      <c r="D72" t="s">
        <v>150</v>
      </c>
      <c r="E72" s="1">
        <v>5</v>
      </c>
      <c r="F72">
        <f t="shared" si="1"/>
        <v>587.5</v>
      </c>
    </row>
    <row r="73" spans="1:6" x14ac:dyDescent="0.3">
      <c r="A73" t="s">
        <v>5</v>
      </c>
      <c r="B73" t="s">
        <v>151</v>
      </c>
      <c r="C73" t="s">
        <v>7</v>
      </c>
      <c r="D73" t="s">
        <v>152</v>
      </c>
      <c r="E73" s="1">
        <v>0.02</v>
      </c>
      <c r="F73">
        <f t="shared" si="1"/>
        <v>2.35</v>
      </c>
    </row>
    <row r="74" spans="1:6" x14ac:dyDescent="0.3">
      <c r="A74" t="s">
        <v>11</v>
      </c>
      <c r="B74" t="s">
        <v>153</v>
      </c>
      <c r="C74" t="s">
        <v>7</v>
      </c>
      <c r="D74" t="s">
        <v>154</v>
      </c>
      <c r="E74" s="1">
        <v>5</v>
      </c>
      <c r="F74">
        <f t="shared" si="1"/>
        <v>587.5</v>
      </c>
    </row>
    <row r="75" spans="1:6" x14ac:dyDescent="0.3">
      <c r="A75" t="s">
        <v>11</v>
      </c>
      <c r="B75" t="s">
        <v>155</v>
      </c>
      <c r="C75" t="s">
        <v>7</v>
      </c>
      <c r="D75" t="s">
        <v>156</v>
      </c>
      <c r="E75" s="1">
        <v>0.02</v>
      </c>
      <c r="F75">
        <f t="shared" si="1"/>
        <v>2.35</v>
      </c>
    </row>
    <row r="76" spans="1:6" x14ac:dyDescent="0.3">
      <c r="A76" t="s">
        <v>11</v>
      </c>
      <c r="B76" t="s">
        <v>157</v>
      </c>
      <c r="C76" t="s">
        <v>7</v>
      </c>
      <c r="D76" t="s">
        <v>158</v>
      </c>
      <c r="E76" s="1">
        <v>0.05</v>
      </c>
      <c r="F76">
        <f t="shared" si="1"/>
        <v>5.875</v>
      </c>
    </row>
    <row r="77" spans="1:6" x14ac:dyDescent="0.3">
      <c r="A77" t="s">
        <v>11</v>
      </c>
      <c r="B77" t="s">
        <v>159</v>
      </c>
      <c r="C77" t="s">
        <v>7</v>
      </c>
      <c r="D77" t="s">
        <v>160</v>
      </c>
      <c r="E77" s="1">
        <v>3</v>
      </c>
      <c r="F77">
        <f t="shared" si="1"/>
        <v>352.5</v>
      </c>
    </row>
    <row r="78" spans="1:6" x14ac:dyDescent="0.3">
      <c r="A78" t="s">
        <v>11</v>
      </c>
      <c r="B78" t="s">
        <v>161</v>
      </c>
      <c r="C78" t="s">
        <v>7</v>
      </c>
      <c r="D78" t="s">
        <v>162</v>
      </c>
      <c r="E78" s="1">
        <v>4</v>
      </c>
      <c r="F78">
        <f t="shared" si="1"/>
        <v>470</v>
      </c>
    </row>
    <row r="79" spans="1:6" x14ac:dyDescent="0.3">
      <c r="A79" t="s">
        <v>11</v>
      </c>
      <c r="B79" t="s">
        <v>163</v>
      </c>
      <c r="C79" t="s">
        <v>7</v>
      </c>
      <c r="D79" t="s">
        <v>164</v>
      </c>
      <c r="E79" s="1">
        <v>5</v>
      </c>
      <c r="F79">
        <f t="shared" si="1"/>
        <v>587.5</v>
      </c>
    </row>
    <row r="80" spans="1:6" x14ac:dyDescent="0.3">
      <c r="A80" t="s">
        <v>11</v>
      </c>
      <c r="B80" t="s">
        <v>165</v>
      </c>
      <c r="C80" t="s">
        <v>7</v>
      </c>
      <c r="D80" t="s">
        <v>166</v>
      </c>
      <c r="E80" s="1">
        <v>4</v>
      </c>
      <c r="F80">
        <f t="shared" si="1"/>
        <v>470</v>
      </c>
    </row>
    <row r="81" spans="1:6" x14ac:dyDescent="0.3">
      <c r="A81" t="s">
        <v>11</v>
      </c>
      <c r="B81" t="s">
        <v>167</v>
      </c>
      <c r="C81" t="s">
        <v>7</v>
      </c>
      <c r="D81" t="s">
        <v>168</v>
      </c>
      <c r="E81" s="1">
        <v>3</v>
      </c>
      <c r="F81">
        <f t="shared" si="1"/>
        <v>352.5</v>
      </c>
    </row>
    <row r="82" spans="1:6" x14ac:dyDescent="0.3">
      <c r="A82" t="s">
        <v>11</v>
      </c>
      <c r="B82" t="s">
        <v>169</v>
      </c>
      <c r="C82" t="s">
        <v>7</v>
      </c>
      <c r="D82" t="s">
        <v>170</v>
      </c>
      <c r="E82" s="1">
        <v>2</v>
      </c>
      <c r="F82">
        <f t="shared" si="1"/>
        <v>235</v>
      </c>
    </row>
    <row r="83" spans="1:6" x14ac:dyDescent="0.3">
      <c r="A83" t="s">
        <v>5</v>
      </c>
      <c r="B83" t="s">
        <v>171</v>
      </c>
      <c r="C83" t="s">
        <v>7</v>
      </c>
      <c r="D83" t="s">
        <v>172</v>
      </c>
      <c r="E83" s="1">
        <v>0.03</v>
      </c>
      <c r="F83">
        <f t="shared" si="1"/>
        <v>3.5249999999999999</v>
      </c>
    </row>
    <row r="84" spans="1:6" x14ac:dyDescent="0.3">
      <c r="A84" t="s">
        <v>5</v>
      </c>
      <c r="B84" t="s">
        <v>173</v>
      </c>
      <c r="C84" t="s">
        <v>7</v>
      </c>
      <c r="D84" t="s">
        <v>174</v>
      </c>
      <c r="E84" s="1">
        <v>1</v>
      </c>
      <c r="F84">
        <f t="shared" si="1"/>
        <v>117.5</v>
      </c>
    </row>
    <row r="85" spans="1:6" x14ac:dyDescent="0.3">
      <c r="A85" t="s">
        <v>11</v>
      </c>
      <c r="B85" t="s">
        <v>175</v>
      </c>
      <c r="C85" t="s">
        <v>7</v>
      </c>
      <c r="D85" t="s">
        <v>176</v>
      </c>
      <c r="E85" s="1">
        <v>0.05</v>
      </c>
      <c r="F85">
        <f t="shared" si="1"/>
        <v>5.875</v>
      </c>
    </row>
    <row r="86" spans="1:6" x14ac:dyDescent="0.3">
      <c r="A86" t="s">
        <v>11</v>
      </c>
      <c r="B86" t="s">
        <v>177</v>
      </c>
      <c r="C86" t="s">
        <v>7</v>
      </c>
      <c r="D86" t="s">
        <v>178</v>
      </c>
      <c r="E86" s="1">
        <v>1</v>
      </c>
      <c r="F86">
        <f t="shared" si="1"/>
        <v>117.5</v>
      </c>
    </row>
    <row r="87" spans="1:6" x14ac:dyDescent="0.3">
      <c r="A87" t="s">
        <v>11</v>
      </c>
      <c r="B87" t="s">
        <v>179</v>
      </c>
      <c r="C87" t="s">
        <v>7</v>
      </c>
      <c r="D87" t="s">
        <v>180</v>
      </c>
      <c r="E87" s="1">
        <v>3</v>
      </c>
      <c r="F87">
        <f t="shared" si="1"/>
        <v>352.5</v>
      </c>
    </row>
    <row r="88" spans="1:6" x14ac:dyDescent="0.3">
      <c r="A88" t="s">
        <v>11</v>
      </c>
      <c r="B88" t="s">
        <v>181</v>
      </c>
      <c r="C88" t="s">
        <v>7</v>
      </c>
      <c r="D88" t="s">
        <v>182</v>
      </c>
      <c r="E88" s="1">
        <v>5</v>
      </c>
      <c r="F88">
        <f t="shared" si="1"/>
        <v>587.5</v>
      </c>
    </row>
    <row r="89" spans="1:6" x14ac:dyDescent="0.3">
      <c r="A89" t="s">
        <v>11</v>
      </c>
      <c r="B89" t="s">
        <v>183</v>
      </c>
      <c r="C89" t="s">
        <v>7</v>
      </c>
      <c r="D89" t="s">
        <v>184</v>
      </c>
      <c r="E89" s="1">
        <v>3</v>
      </c>
      <c r="F89">
        <f t="shared" si="1"/>
        <v>352.5</v>
      </c>
    </row>
    <row r="90" spans="1:6" x14ac:dyDescent="0.3">
      <c r="A90" t="s">
        <v>11</v>
      </c>
      <c r="B90" t="s">
        <v>185</v>
      </c>
      <c r="C90" t="s">
        <v>7</v>
      </c>
      <c r="D90" t="s">
        <v>186</v>
      </c>
      <c r="E90" s="1">
        <v>4</v>
      </c>
      <c r="F90">
        <f t="shared" si="1"/>
        <v>470</v>
      </c>
    </row>
    <row r="91" spans="1:6" x14ac:dyDescent="0.3">
      <c r="A91" t="s">
        <v>5</v>
      </c>
      <c r="B91" t="s">
        <v>187</v>
      </c>
      <c r="C91" t="s">
        <v>7</v>
      </c>
      <c r="D91" t="s">
        <v>188</v>
      </c>
      <c r="E91" s="1">
        <v>8</v>
      </c>
      <c r="F91">
        <f t="shared" si="1"/>
        <v>940</v>
      </c>
    </row>
    <row r="92" spans="1:6" x14ac:dyDescent="0.3">
      <c r="A92" t="s">
        <v>11</v>
      </c>
      <c r="B92" t="s">
        <v>189</v>
      </c>
      <c r="C92" t="s">
        <v>7</v>
      </c>
      <c r="D92" t="s">
        <v>190</v>
      </c>
      <c r="E92" s="1">
        <v>5</v>
      </c>
      <c r="F92">
        <f t="shared" si="1"/>
        <v>587.5</v>
      </c>
    </row>
    <row r="93" spans="1:6" x14ac:dyDescent="0.3">
      <c r="A93" t="s">
        <v>11</v>
      </c>
      <c r="B93" t="s">
        <v>191</v>
      </c>
      <c r="C93" t="s">
        <v>7</v>
      </c>
      <c r="D93" t="s">
        <v>192</v>
      </c>
      <c r="E93" s="1">
        <v>5</v>
      </c>
      <c r="F93">
        <f t="shared" si="1"/>
        <v>587.5</v>
      </c>
    </row>
    <row r="94" spans="1:6" x14ac:dyDescent="0.3">
      <c r="A94" t="s">
        <v>5</v>
      </c>
      <c r="B94" t="s">
        <v>193</v>
      </c>
      <c r="C94" t="s">
        <v>7</v>
      </c>
      <c r="D94" t="s">
        <v>194</v>
      </c>
      <c r="E94" s="1">
        <v>2.5000000000000001E-2</v>
      </c>
      <c r="F94">
        <f t="shared" si="1"/>
        <v>2.9375</v>
      </c>
    </row>
    <row r="95" spans="1:6" x14ac:dyDescent="0.3">
      <c r="A95" t="s">
        <v>11</v>
      </c>
      <c r="B95" t="s">
        <v>195</v>
      </c>
      <c r="C95" t="s">
        <v>7</v>
      </c>
      <c r="D95" t="s">
        <v>196</v>
      </c>
      <c r="E95" s="1">
        <v>6</v>
      </c>
      <c r="F95">
        <f t="shared" si="1"/>
        <v>705</v>
      </c>
    </row>
    <row r="96" spans="1:6" x14ac:dyDescent="0.3">
      <c r="A96" t="s">
        <v>11</v>
      </c>
      <c r="B96" t="s">
        <v>197</v>
      </c>
      <c r="C96" t="s">
        <v>7</v>
      </c>
      <c r="D96" t="s">
        <v>198</v>
      </c>
      <c r="E96" s="1">
        <v>7</v>
      </c>
      <c r="F96">
        <f t="shared" si="1"/>
        <v>822.5</v>
      </c>
    </row>
    <row r="97" spans="1:6" x14ac:dyDescent="0.3">
      <c r="A97" t="s">
        <v>5</v>
      </c>
      <c r="B97" t="s">
        <v>199</v>
      </c>
      <c r="C97" t="s">
        <v>7</v>
      </c>
      <c r="D97" t="s">
        <v>200</v>
      </c>
      <c r="E97" s="1">
        <v>12</v>
      </c>
      <c r="F97">
        <f t="shared" si="1"/>
        <v>1410</v>
      </c>
    </row>
    <row r="98" spans="1:6" x14ac:dyDescent="0.3">
      <c r="A98" t="s">
        <v>5</v>
      </c>
      <c r="B98" t="s">
        <v>201</v>
      </c>
      <c r="C98" t="s">
        <v>7</v>
      </c>
      <c r="D98" t="s">
        <v>202</v>
      </c>
      <c r="E98" s="1">
        <v>1.4</v>
      </c>
      <c r="F98">
        <f t="shared" si="1"/>
        <v>164.5</v>
      </c>
    </row>
    <row r="99" spans="1:6" x14ac:dyDescent="0.3">
      <c r="A99" t="s">
        <v>89</v>
      </c>
      <c r="B99" t="s">
        <v>203</v>
      </c>
      <c r="C99" t="s">
        <v>7</v>
      </c>
      <c r="D99" t="s">
        <v>204</v>
      </c>
      <c r="E99" s="1">
        <v>20</v>
      </c>
      <c r="F99">
        <f t="shared" si="1"/>
        <v>2350</v>
      </c>
    </row>
    <row r="100" spans="1:6" x14ac:dyDescent="0.3">
      <c r="A100" t="s">
        <v>5</v>
      </c>
      <c r="B100" t="s">
        <v>205</v>
      </c>
      <c r="C100" t="s">
        <v>7</v>
      </c>
      <c r="D100" t="s">
        <v>206</v>
      </c>
      <c r="E100" s="1">
        <v>1</v>
      </c>
      <c r="F100">
        <f t="shared" si="1"/>
        <v>117.5</v>
      </c>
    </row>
    <row r="101" spans="1:6" x14ac:dyDescent="0.3">
      <c r="A101" t="s">
        <v>5</v>
      </c>
      <c r="B101" t="s">
        <v>207</v>
      </c>
      <c r="C101" t="s">
        <v>7</v>
      </c>
      <c r="D101" t="s">
        <v>208</v>
      </c>
      <c r="E101" s="1">
        <v>2</v>
      </c>
      <c r="F101">
        <f t="shared" si="1"/>
        <v>235</v>
      </c>
    </row>
    <row r="102" spans="1:6" x14ac:dyDescent="0.3">
      <c r="A102" t="s">
        <v>11</v>
      </c>
      <c r="B102" t="s">
        <v>209</v>
      </c>
      <c r="C102" t="s">
        <v>7</v>
      </c>
      <c r="D102" t="s">
        <v>210</v>
      </c>
      <c r="E102" s="1">
        <v>3</v>
      </c>
      <c r="F102">
        <f t="shared" si="1"/>
        <v>352.5</v>
      </c>
    </row>
    <row r="103" spans="1:6" x14ac:dyDescent="0.3">
      <c r="A103" t="s">
        <v>11</v>
      </c>
      <c r="B103" t="s">
        <v>211</v>
      </c>
      <c r="C103" t="s">
        <v>7</v>
      </c>
      <c r="D103" t="s">
        <v>212</v>
      </c>
      <c r="E103" s="1">
        <v>0.02</v>
      </c>
      <c r="F103">
        <f t="shared" si="1"/>
        <v>2.35</v>
      </c>
    </row>
    <row r="104" spans="1:6" x14ac:dyDescent="0.3">
      <c r="A104" t="s">
        <v>11</v>
      </c>
      <c r="B104" t="s">
        <v>213</v>
      </c>
      <c r="C104" t="s">
        <v>7</v>
      </c>
      <c r="D104" t="s">
        <v>214</v>
      </c>
      <c r="E104" s="1">
        <v>0.03</v>
      </c>
      <c r="F104">
        <f t="shared" si="1"/>
        <v>3.5249999999999999</v>
      </c>
    </row>
    <row r="105" spans="1:6" x14ac:dyDescent="0.3">
      <c r="A105" t="s">
        <v>11</v>
      </c>
      <c r="B105" t="s">
        <v>215</v>
      </c>
      <c r="C105" t="s">
        <v>7</v>
      </c>
      <c r="D105" t="s">
        <v>216</v>
      </c>
      <c r="E105" s="1">
        <v>0.04</v>
      </c>
      <c r="F105">
        <f t="shared" si="1"/>
        <v>4.7</v>
      </c>
    </row>
    <row r="106" spans="1:6" x14ac:dyDescent="0.3">
      <c r="A106" t="s">
        <v>11</v>
      </c>
      <c r="B106" t="s">
        <v>217</v>
      </c>
      <c r="C106" t="s">
        <v>7</v>
      </c>
      <c r="D106" t="s">
        <v>218</v>
      </c>
      <c r="E106" s="1">
        <v>3</v>
      </c>
      <c r="F106">
        <f t="shared" si="1"/>
        <v>352.5</v>
      </c>
    </row>
    <row r="107" spans="1:6" x14ac:dyDescent="0.3">
      <c r="A107" t="s">
        <v>11</v>
      </c>
      <c r="B107" t="s">
        <v>219</v>
      </c>
      <c r="C107" t="s">
        <v>7</v>
      </c>
      <c r="D107" t="s">
        <v>220</v>
      </c>
      <c r="E107" s="1">
        <v>2</v>
      </c>
      <c r="F107">
        <f t="shared" si="1"/>
        <v>235</v>
      </c>
    </row>
    <row r="108" spans="1:6" x14ac:dyDescent="0.3">
      <c r="A108" t="s">
        <v>11</v>
      </c>
      <c r="B108" t="s">
        <v>221</v>
      </c>
      <c r="C108" t="s">
        <v>7</v>
      </c>
      <c r="D108" t="s">
        <v>222</v>
      </c>
      <c r="E108" s="1">
        <v>1</v>
      </c>
      <c r="F108">
        <f t="shared" si="1"/>
        <v>117.5</v>
      </c>
    </row>
    <row r="109" spans="1:6" x14ac:dyDescent="0.3">
      <c r="A109" t="s">
        <v>11</v>
      </c>
      <c r="B109" t="s">
        <v>223</v>
      </c>
      <c r="C109" t="s">
        <v>7</v>
      </c>
      <c r="D109" t="s">
        <v>224</v>
      </c>
      <c r="E109" s="1">
        <v>5</v>
      </c>
      <c r="F109">
        <f t="shared" si="1"/>
        <v>587.5</v>
      </c>
    </row>
    <row r="110" spans="1:6" x14ac:dyDescent="0.3">
      <c r="A110" t="s">
        <v>5</v>
      </c>
      <c r="B110" t="s">
        <v>225</v>
      </c>
      <c r="C110" t="s">
        <v>7</v>
      </c>
      <c r="D110" t="s">
        <v>226</v>
      </c>
      <c r="E110" s="1">
        <v>0.5</v>
      </c>
      <c r="F110">
        <f t="shared" si="1"/>
        <v>58.75</v>
      </c>
    </row>
    <row r="111" spans="1:6" x14ac:dyDescent="0.3">
      <c r="A111" t="s">
        <v>11</v>
      </c>
      <c r="B111" t="s">
        <v>227</v>
      </c>
      <c r="C111" t="s">
        <v>7</v>
      </c>
      <c r="D111" t="s">
        <v>228</v>
      </c>
      <c r="E111" s="1">
        <v>25</v>
      </c>
      <c r="F111">
        <f t="shared" si="1"/>
        <v>2937.5</v>
      </c>
    </row>
    <row r="112" spans="1:6" x14ac:dyDescent="0.3">
      <c r="A112" t="s">
        <v>5</v>
      </c>
      <c r="B112" t="s">
        <v>229</v>
      </c>
      <c r="C112" t="s">
        <v>7</v>
      </c>
      <c r="D112" t="s">
        <v>230</v>
      </c>
      <c r="E112" s="1">
        <v>30</v>
      </c>
      <c r="F112">
        <f t="shared" si="1"/>
        <v>3525</v>
      </c>
    </row>
    <row r="113" spans="1:6" x14ac:dyDescent="0.3">
      <c r="A113" t="s">
        <v>5</v>
      </c>
      <c r="B113" t="s">
        <v>103</v>
      </c>
      <c r="C113" t="s">
        <v>7</v>
      </c>
      <c r="D113" t="s">
        <v>231</v>
      </c>
      <c r="E113" s="1">
        <v>0.5</v>
      </c>
      <c r="F113">
        <f t="shared" si="1"/>
        <v>58.75</v>
      </c>
    </row>
    <row r="114" spans="1:6" x14ac:dyDescent="0.3">
      <c r="A114" t="s">
        <v>5</v>
      </c>
      <c r="B114" t="s">
        <v>232</v>
      </c>
      <c r="C114" t="s">
        <v>7</v>
      </c>
      <c r="D114" t="s">
        <v>233</v>
      </c>
      <c r="E114" s="1">
        <v>5</v>
      </c>
      <c r="F114">
        <f t="shared" si="1"/>
        <v>587.5</v>
      </c>
    </row>
    <row r="115" spans="1:6" x14ac:dyDescent="0.3">
      <c r="A115" t="s">
        <v>5</v>
      </c>
      <c r="B115" t="s">
        <v>234</v>
      </c>
      <c r="C115" t="s">
        <v>7</v>
      </c>
      <c r="D115" t="s">
        <v>235</v>
      </c>
      <c r="E115" s="1">
        <v>20</v>
      </c>
      <c r="F115">
        <f t="shared" si="1"/>
        <v>2350</v>
      </c>
    </row>
    <row r="116" spans="1:6" x14ac:dyDescent="0.3">
      <c r="A116" t="s">
        <v>5</v>
      </c>
      <c r="B116" t="s">
        <v>236</v>
      </c>
      <c r="C116" t="s">
        <v>7</v>
      </c>
      <c r="D116" t="s">
        <v>237</v>
      </c>
      <c r="E116" s="1">
        <v>8</v>
      </c>
      <c r="F116">
        <f t="shared" si="1"/>
        <v>940</v>
      </c>
    </row>
    <row r="117" spans="1:6" x14ac:dyDescent="0.3">
      <c r="A117" t="s">
        <v>11</v>
      </c>
      <c r="B117" t="s">
        <v>238</v>
      </c>
      <c r="C117" t="s">
        <v>7</v>
      </c>
      <c r="D117" t="s">
        <v>239</v>
      </c>
      <c r="E117" s="1">
        <v>0.8</v>
      </c>
      <c r="F117">
        <f t="shared" si="1"/>
        <v>94</v>
      </c>
    </row>
    <row r="118" spans="1:6" x14ac:dyDescent="0.3">
      <c r="A118" t="s">
        <v>5</v>
      </c>
      <c r="B118" t="s">
        <v>240</v>
      </c>
      <c r="C118" t="s">
        <v>7</v>
      </c>
      <c r="D118" t="s">
        <v>241</v>
      </c>
      <c r="E118" s="1">
        <v>0.5</v>
      </c>
      <c r="F118">
        <f t="shared" si="1"/>
        <v>58.75</v>
      </c>
    </row>
    <row r="119" spans="1:6" x14ac:dyDescent="0.3">
      <c r="A119" t="s">
        <v>5</v>
      </c>
      <c r="B119" t="s">
        <v>242</v>
      </c>
      <c r="C119" t="s">
        <v>7</v>
      </c>
      <c r="D119" t="s">
        <v>243</v>
      </c>
      <c r="E119" s="1">
        <v>1.1000000000000001</v>
      </c>
      <c r="F119">
        <f t="shared" si="1"/>
        <v>129.25</v>
      </c>
    </row>
    <row r="120" spans="1:6" x14ac:dyDescent="0.3">
      <c r="A120" t="s">
        <v>11</v>
      </c>
      <c r="B120" t="s">
        <v>244</v>
      </c>
      <c r="C120" t="s">
        <v>7</v>
      </c>
      <c r="D120" t="s">
        <v>245</v>
      </c>
      <c r="E120" s="1">
        <v>1</v>
      </c>
      <c r="F120">
        <f t="shared" si="1"/>
        <v>117.5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 x14ac:dyDescent="0.3"/>
  <sheetData>
    <row r="2" spans="1:1" x14ac:dyDescent="0.3">
      <c r="A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Milan Mirković</cp:lastModifiedBy>
  <dcterms:created xsi:type="dcterms:W3CDTF">2026-06-01T08:08:25Z</dcterms:created>
  <dcterms:modified xsi:type="dcterms:W3CDTF">2026-06-01T09:00:24Z</dcterms:modified>
</cp:coreProperties>
</file>